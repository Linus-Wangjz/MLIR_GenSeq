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<sst xmlns="http://schemas.openxmlformats.org/spreadsheetml/2006/main" count="14" uniqueCount="10">
  <si>
    <t>Vectorized</t>
  </si>
  <si>
    <t>C</t>
  </si>
  <si>
    <t>Speed-up</t>
  </si>
  <si>
    <t>C (Polygeist)</t>
  </si>
  <si>
    <t>Needleman-Wunsch</t>
  </si>
  <si>
    <t>Small</t>
  </si>
  <si>
    <t>Medium</t>
  </si>
  <si>
    <t>Large</t>
  </si>
  <si>
    <t>Minimum Cost Path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</si>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</sst>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2</v>
      </c>
    </row>
    <row r="3">
      <c r="A3" s="1" t="s">
        <v>4</v>
      </c>
    </row>
    <row r="4">
      <c r="A4" s="1" t="s">
        <v>5</v>
      </c>
      <c r="B4" s="2">
        <v>0.203458</v>
      </c>
      <c r="C4" s="1">
        <v>0.511139</v>
      </c>
      <c r="E4" s="2">
        <v>0.483686</v>
      </c>
    </row>
    <row r="5">
      <c r="B5" s="1">
        <v>0.209501</v>
      </c>
      <c r="C5" s="1">
        <v>0.532455</v>
      </c>
      <c r="E5" s="2">
        <v>0.472681</v>
      </c>
    </row>
    <row r="6">
      <c r="B6" s="1">
        <v>0.216846</v>
      </c>
      <c r="C6" s="2">
        <v>0.525835</v>
      </c>
      <c r="E6" s="2">
        <v>0.424553</v>
      </c>
    </row>
    <row r="7">
      <c r="B7" s="2">
        <v>0.208121</v>
      </c>
      <c r="C7" s="2">
        <v>0.531696</v>
      </c>
      <c r="E7" s="2">
        <v>0.474147</v>
      </c>
    </row>
    <row r="8">
      <c r="B8" s="2">
        <v>0.208003</v>
      </c>
      <c r="C8" s="1">
        <v>0.517215</v>
      </c>
      <c r="E8" s="2">
        <v>0.480447</v>
      </c>
    </row>
    <row r="9">
      <c r="B9" s="3">
        <f t="shared" ref="B9:C9" si="1">AVERAGE(B4:B8)</f>
        <v>0.2091858</v>
      </c>
      <c r="C9" s="3">
        <f t="shared" si="1"/>
        <v>0.523668</v>
      </c>
      <c r="D9" s="3">
        <f>C9/B9</f>
        <v>2.503363039</v>
      </c>
      <c r="E9" s="3">
        <f>AVERAGE(E4:E8)</f>
        <v>0.4671028</v>
      </c>
      <c r="F9" s="3">
        <f>E9/B9</f>
        <v>2.232956539</v>
      </c>
    </row>
    <row r="10">
      <c r="A10" s="1" t="s">
        <v>6</v>
      </c>
      <c r="B10" s="2">
        <v>1.115526</v>
      </c>
      <c r="C10" s="2">
        <v>2.900911</v>
      </c>
      <c r="E10" s="2">
        <v>2.831515</v>
      </c>
    </row>
    <row r="11">
      <c r="B11" s="2">
        <v>1.132187</v>
      </c>
      <c r="C11" s="2">
        <v>2.970658</v>
      </c>
      <c r="E11" s="2">
        <v>2.898622</v>
      </c>
    </row>
    <row r="12">
      <c r="B12" s="2">
        <v>1.133737</v>
      </c>
      <c r="C12" s="2">
        <v>2.933926</v>
      </c>
      <c r="E12" s="2">
        <v>2.94637</v>
      </c>
    </row>
    <row r="13">
      <c r="B13" s="2">
        <v>1.135232</v>
      </c>
      <c r="C13" s="2">
        <v>2.776896</v>
      </c>
      <c r="E13" s="2">
        <v>2.878412</v>
      </c>
    </row>
    <row r="14">
      <c r="B14" s="2">
        <v>1.123686</v>
      </c>
      <c r="C14" s="2">
        <v>2.918001</v>
      </c>
      <c r="E14" s="2">
        <v>3.011586</v>
      </c>
    </row>
    <row r="15">
      <c r="B15" s="3">
        <f t="shared" ref="B15:C15" si="2">AVERAGE(B10:B14)</f>
        <v>1.1280736</v>
      </c>
      <c r="C15" s="3">
        <f t="shared" si="2"/>
        <v>2.9000784</v>
      </c>
      <c r="D15" s="3">
        <f>C15/B15</f>
        <v>2.570823748</v>
      </c>
      <c r="E15" s="3">
        <f>AVERAGE(E10:E14)</f>
        <v>2.913301</v>
      </c>
      <c r="F15" s="3">
        <f>E15/B15</f>
        <v>2.582545146</v>
      </c>
    </row>
    <row r="16">
      <c r="A16" s="1" t="s">
        <v>7</v>
      </c>
      <c r="B16" s="2">
        <v>7.1683</v>
      </c>
      <c r="C16" s="2">
        <v>25.726189</v>
      </c>
      <c r="E16" s="2">
        <v>27.472665</v>
      </c>
    </row>
    <row r="17">
      <c r="B17" s="2">
        <v>6.978137</v>
      </c>
      <c r="C17" s="2">
        <v>24.897428</v>
      </c>
      <c r="E17" s="2">
        <v>26.920317</v>
      </c>
    </row>
    <row r="18">
      <c r="B18" s="2">
        <v>7.17601</v>
      </c>
      <c r="C18" s="2">
        <v>24.982151</v>
      </c>
      <c r="E18" s="2">
        <v>29.779093</v>
      </c>
    </row>
    <row r="19">
      <c r="B19" s="2">
        <v>7.224087</v>
      </c>
      <c r="C19" s="2">
        <v>24.626427</v>
      </c>
      <c r="E19" s="2">
        <v>31.074227</v>
      </c>
    </row>
    <row r="20">
      <c r="B20" s="2">
        <v>7.171736</v>
      </c>
      <c r="C20" s="2">
        <v>25.105115</v>
      </c>
      <c r="E20" s="2">
        <v>27.029809</v>
      </c>
    </row>
    <row r="21">
      <c r="B21" s="3">
        <f t="shared" ref="B21:C21" si="3">AVERAGE(B16:B20)</f>
        <v>7.143654</v>
      </c>
      <c r="C21" s="3">
        <f t="shared" si="3"/>
        <v>25.067462</v>
      </c>
      <c r="D21" s="3">
        <f>C21/B21</f>
        <v>3.50905321</v>
      </c>
      <c r="E21" s="3">
        <f>AVERAGE(E16:E20)</f>
        <v>28.4552222</v>
      </c>
      <c r="F21" s="3">
        <f>E21/B21</f>
        <v>3.983286733</v>
      </c>
    </row>
    <row r="22">
      <c r="D22" s="3">
        <f>AVERAGE(D9,D15,D21)</f>
        <v>2.861079999</v>
      </c>
      <c r="F22" s="3">
        <f>AVERAGE(F9,F15,F21)</f>
        <v>2.932929473</v>
      </c>
    </row>
    <row r="23">
      <c r="A23" s="1" t="s">
        <v>8</v>
      </c>
    </row>
    <row r="24">
      <c r="A24" s="1" t="s">
        <v>5</v>
      </c>
      <c r="B24" s="2">
        <v>0.41493</v>
      </c>
      <c r="C24" s="2">
        <v>1.558504</v>
      </c>
      <c r="E24" s="2">
        <v>1.789141</v>
      </c>
    </row>
    <row r="25">
      <c r="B25" s="2">
        <v>0.486538</v>
      </c>
      <c r="C25" s="2">
        <v>1.847149</v>
      </c>
      <c r="E25" s="2">
        <v>1.626946</v>
      </c>
    </row>
    <row r="26">
      <c r="B26" s="2">
        <v>0.406146</v>
      </c>
      <c r="C26" s="2">
        <v>1.50734</v>
      </c>
      <c r="E26" s="2">
        <v>1.608884</v>
      </c>
      <c r="F26" s="1" t="s">
        <v>9</v>
      </c>
    </row>
    <row r="27">
      <c r="B27" s="2">
        <v>0.406708</v>
      </c>
      <c r="C27" s="2">
        <v>1.51113</v>
      </c>
      <c r="E27" s="2">
        <v>1.591559</v>
      </c>
    </row>
    <row r="28">
      <c r="B28" s="2">
        <v>0.399013</v>
      </c>
      <c r="C28" s="2">
        <v>1.51171</v>
      </c>
      <c r="E28" s="2">
        <v>1.599102</v>
      </c>
    </row>
    <row r="29">
      <c r="B29" s="3">
        <f t="shared" ref="B29:C29" si="4">AVERAGE(B24:B28)</f>
        <v>0.422667</v>
      </c>
      <c r="C29" s="3">
        <f t="shared" si="4"/>
        <v>1.5871666</v>
      </c>
      <c r="D29" s="3">
        <f>C29/B29</f>
        <v>3.755123064</v>
      </c>
      <c r="E29" s="3">
        <f>AVERAGE(E24:E28)</f>
        <v>1.6431264</v>
      </c>
      <c r="F29" s="3">
        <f>E29/B29</f>
        <v>3.887519963</v>
      </c>
    </row>
    <row r="30">
      <c r="A30" s="1" t="s">
        <v>6</v>
      </c>
      <c r="B30" s="2">
        <v>1.683318</v>
      </c>
      <c r="C30" s="2">
        <v>6.246025</v>
      </c>
      <c r="E30" s="2">
        <v>6.393328</v>
      </c>
    </row>
    <row r="31">
      <c r="B31" s="2">
        <v>1.692611</v>
      </c>
      <c r="C31" s="2">
        <v>6.052342</v>
      </c>
      <c r="E31" s="2">
        <v>6.351642</v>
      </c>
    </row>
    <row r="32">
      <c r="B32" s="2">
        <v>1.688085</v>
      </c>
      <c r="C32" s="2">
        <v>5.981858</v>
      </c>
      <c r="E32" s="2">
        <v>6.619294</v>
      </c>
    </row>
    <row r="33">
      <c r="B33" s="2">
        <v>1.697486</v>
      </c>
      <c r="C33" s="2">
        <v>6.234638</v>
      </c>
      <c r="E33" s="2">
        <v>6.466189</v>
      </c>
    </row>
    <row r="34">
      <c r="B34" s="2">
        <v>1.696381</v>
      </c>
      <c r="C34" s="2">
        <v>6.326127</v>
      </c>
      <c r="E34" s="2">
        <v>6.710412</v>
      </c>
    </row>
    <row r="35">
      <c r="B35" s="3">
        <f t="shared" ref="B35:C35" si="5">AVERAGE(B30:B34)</f>
        <v>1.6915762</v>
      </c>
      <c r="C35" s="3">
        <f t="shared" si="5"/>
        <v>6.168198</v>
      </c>
      <c r="D35" s="3">
        <f>C35/B35</f>
        <v>3.646420421</v>
      </c>
      <c r="E35" s="3">
        <f>AVERAGE(E30:E34)</f>
        <v>6.508173</v>
      </c>
      <c r="F35" s="3">
        <f>E35/B35</f>
        <v>3.847401613</v>
      </c>
    </row>
    <row r="36">
      <c r="A36" s="1" t="s">
        <v>7</v>
      </c>
      <c r="B36" s="2">
        <v>9.845941</v>
      </c>
      <c r="C36" s="2">
        <v>42.313626</v>
      </c>
      <c r="E36" s="2">
        <v>44.907436</v>
      </c>
    </row>
    <row r="37">
      <c r="B37" s="2">
        <v>10.581197</v>
      </c>
      <c r="C37" s="2">
        <v>43.748352</v>
      </c>
      <c r="E37" s="2">
        <v>47.644988</v>
      </c>
    </row>
    <row r="38">
      <c r="B38" s="2">
        <v>10.224846</v>
      </c>
      <c r="C38" s="2">
        <v>42.84662</v>
      </c>
      <c r="E38" s="2">
        <v>46.472489</v>
      </c>
    </row>
    <row r="39">
      <c r="B39" s="2">
        <v>10.280666</v>
      </c>
      <c r="C39" s="2">
        <v>43.082782</v>
      </c>
      <c r="E39" s="2">
        <v>48.180568</v>
      </c>
    </row>
    <row r="40">
      <c r="B40" s="2">
        <v>9.686459</v>
      </c>
      <c r="C40" s="2">
        <v>40.495029</v>
      </c>
      <c r="E40" s="2">
        <v>48.012366</v>
      </c>
    </row>
    <row r="41">
      <c r="B41" s="3">
        <f t="shared" ref="B41:C41" si="6">AVERAGE(B36:B40)</f>
        <v>10.1238218</v>
      </c>
      <c r="C41" s="3">
        <f t="shared" si="6"/>
        <v>42.4972818</v>
      </c>
      <c r="D41" s="3">
        <f>C41/B41</f>
        <v>4.197750873</v>
      </c>
      <c r="E41" s="3">
        <f>AVERAGE(E36:E40)</f>
        <v>47.0435694</v>
      </c>
      <c r="F41" s="3">
        <f>E41/B41</f>
        <v>4.646819188</v>
      </c>
    </row>
    <row r="42">
      <c r="D42" s="3">
        <f>AVERAGE(D29,D35,D41)</f>
        <v>3.866431453</v>
      </c>
      <c r="F42" s="3">
        <f>AVERAGE(F29,F35,F41)</f>
        <v>4.127246921</v>
      </c>
    </row>
  </sheetData>
  <drawing r:id="rId1"/>
</worksheet>
</file>